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drawings/drawing4.xml" ContentType="application/vnd.openxmlformats-officedocument.drawing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UMMARY" sheetId="7" r:id="rId1"/>
    <sheet name="SAVINGS" sheetId="6" r:id="rId2"/>
    <sheet name="EXPENSES" sheetId="5" r:id="rId3"/>
    <sheet name="INCOME" sheetId="4" r:id="rId4"/>
  </sheets>
  <calcPr calcId="152511"/>
</workbook>
</file>

<file path=xl/calcChain.xml><?xml version="1.0" encoding="utf-8"?>
<calcChain xmlns="http://schemas.openxmlformats.org/spreadsheetml/2006/main">
  <c r="R8" i="7" l="1"/>
  <c r="R9" i="7"/>
  <c r="E16" i="7"/>
  <c r="E13" i="7"/>
  <c r="E10" i="7"/>
  <c r="E7" i="7"/>
</calcChain>
</file>

<file path=xl/sharedStrings.xml><?xml version="1.0" encoding="utf-8"?>
<sst xmlns="http://schemas.openxmlformats.org/spreadsheetml/2006/main" count="41" uniqueCount="28">
  <si>
    <t>PERSONAL BUDGET TRACKER</t>
  </si>
  <si>
    <t>MONTHLY INCOME :</t>
  </si>
  <si>
    <t>S.NO</t>
  </si>
  <si>
    <t>INCOME SOURCE</t>
  </si>
  <si>
    <t>DATE</t>
  </si>
  <si>
    <t>AMOUNT</t>
  </si>
  <si>
    <t>EXPENSES SOURCE</t>
  </si>
  <si>
    <t>MONTHLY EXPENSES :</t>
  </si>
  <si>
    <t>MONTHLY SAVINGS :</t>
  </si>
  <si>
    <t>income from stocks</t>
  </si>
  <si>
    <t>income from rent</t>
  </si>
  <si>
    <t>salary</t>
  </si>
  <si>
    <t>income from interest</t>
  </si>
  <si>
    <t>income from tuition</t>
  </si>
  <si>
    <t>car emi</t>
  </si>
  <si>
    <t>laptop emi</t>
  </si>
  <si>
    <t>mobile bill</t>
  </si>
  <si>
    <t>electricity bill</t>
  </si>
  <si>
    <t>shopping</t>
  </si>
  <si>
    <t>school fee</t>
  </si>
  <si>
    <t>grocery</t>
  </si>
  <si>
    <t>credit cards</t>
  </si>
  <si>
    <t>stocks</t>
  </si>
  <si>
    <t>sip</t>
  </si>
  <si>
    <t>bank deposits</t>
  </si>
  <si>
    <t>PERCENTAGE OF INCOME SPENT :</t>
  </si>
  <si>
    <t>SUMMARY :</t>
  </si>
  <si>
    <t>CASH BALANCE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</si>
</sst>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7" formatCode="&quot;₹&quot;\ #,##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0"/>
      <name val="Times New Roman"/>
      <family val="1"/>
    </font>
    <font>
      <b/>
      <sz val="11"/>
      <color theme="1"/>
      <name val="Times New Roman"/>
      <family val="1"/>
    </font>
    <font>
      <b/>
      <sz val="12"/>
      <color theme="0"/>
      <name val="Times New Roman"/>
      <family val="1"/>
    </font>
    <font>
      <b/>
      <sz val="14"/>
      <color theme="1"/>
      <name val="Calibri"/>
      <family val="2"/>
      <scheme val="minor"/>
    </font>
    <font>
      <b/>
      <sz val="11"/>
      <color theme="4" tint="-0.499984740745262"/>
      <name val="Times New Roman"/>
      <family val="1"/>
    </font>
    <font>
      <b/>
      <sz val="11"/>
      <color theme="1" tint="4.9989318521683403E-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2" fillId="2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3" fillId="0" borderId="0" xfId="0" applyFont="1"/>
    <xf numFmtId="0" fontId="4" fillId="2" borderId="0" xfId="0" applyFont="1" applyFill="1"/>
    <xf numFmtId="14" fontId="0" fillId="0" borderId="0" xfId="0" applyNumberFormat="1"/>
    <xf numFmtId="49" fontId="0" fillId="0" borderId="0" xfId="0" applyNumberFormat="1"/>
    <xf numFmtId="167" fontId="0" fillId="0" borderId="0" xfId="0" applyNumberFormat="1"/>
    <xf numFmtId="1" fontId="0" fillId="0" borderId="0" xfId="0" applyNumberFormat="1"/>
    <xf numFmtId="167" fontId="5" fillId="0" borderId="0" xfId="0" applyNumberFormat="1" applyFont="1" applyAlignment="1">
      <alignment horizontal="left"/>
    </xf>
    <xf numFmtId="0" fontId="6" fillId="0" borderId="1" xfId="0" applyFont="1" applyBorder="1"/>
    <xf numFmtId="0" fontId="7" fillId="0" borderId="0" xfId="0" applyFont="1"/>
    <xf numFmtId="9" fontId="0" fillId="0" borderId="0" xfId="0" applyNumberFormat="1"/>
  </cellXfs>
  <cellStyles count="1">
    <cellStyle name="Normal" xfId="0" builtinId="0"/>
  </cellStyles>
  <dxfs count="6">
    <dxf>
      <numFmt numFmtId="1" formatCode="0"/>
    </dxf>
    <dxf>
      <numFmt numFmtId="30" formatCode="@"/>
    </dxf>
    <dxf>
      <numFmt numFmtId="167" formatCode="&quot;₹&quot;\ 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Times New Roman"/>
        <scheme val="none"/>
      </font>
      <fill>
        <patternFill patternType="solid">
          <fgColor indexed="64"/>
          <bgColor theme="2" tint="-0.49998474074526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Times New Roman"/>
        <scheme val="none"/>
      </font>
      <fill>
        <patternFill patternType="solid">
          <fgColor indexed="64"/>
          <bgColor theme="2" tint="-0.49998474074526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Times New Roman"/>
        <scheme val="none"/>
      </font>
      <fill>
        <patternFill patternType="solid">
          <fgColor indexed="64"/>
          <bgColor theme="2" tint="-0.499984740745262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524759405074365"/>
          <c:y val="5.5555555555555552E-2"/>
          <c:w val="0.85141907261592298"/>
          <c:h val="0.80154928550597826"/>
        </c:manualLayout>
      </c:layout>
      <c:barChart>
        <c:barDir val="col"/>
        <c:grouping val="clustered"/>
        <c:varyColors val="0"/>
        <c:ser>
          <c:idx val="0"/>
          <c:order val="0"/>
          <c:tx>
            <c:v>income</c:v>
          </c:tx>
          <c:spPr>
            <a:solidFill>
              <a:schemeClr val="bg1"/>
            </a:solidFill>
            <a:ln w="12700"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SUMMARY!$E$7</c:f>
              <c:numCache>
                <c:formatCode>"₹"\ #,##0</c:formatCode>
                <c:ptCount val="1"/>
                <c:pt idx="0">
                  <c:v>82000</c:v>
                </c:pt>
              </c:numCache>
            </c:numRef>
          </c:val>
        </c:ser>
        <c:ser>
          <c:idx val="1"/>
          <c:order val="1"/>
          <c:tx>
            <c:v>expenses</c:v>
          </c:tx>
          <c:spPr>
            <a:solidFill>
              <a:schemeClr val="bg2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SUMMARY!$E$10</c:f>
              <c:numCache>
                <c:formatCode>"₹"\ #,##0</c:formatCode>
                <c:ptCount val="1"/>
                <c:pt idx="0">
                  <c:v>38400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59534712"/>
        <c:axId val="359531184"/>
      </c:barChart>
      <c:catAx>
        <c:axId val="359534712"/>
        <c:scaling>
          <c:orientation val="minMax"/>
        </c:scaling>
        <c:delete val="1"/>
        <c:axPos val="b"/>
        <c:majorTickMark val="none"/>
        <c:minorTickMark val="none"/>
        <c:tickLblPos val="nextTo"/>
        <c:crossAx val="359531184"/>
        <c:crosses val="autoZero"/>
        <c:auto val="1"/>
        <c:lblAlgn val="ctr"/>
        <c:lblOffset val="100"/>
        <c:noMultiLvlLbl val="0"/>
      </c:catAx>
      <c:valAx>
        <c:axId val="359531184"/>
        <c:scaling>
          <c:orientation val="minMax"/>
        </c:scaling>
        <c:delete val="0"/>
        <c:axPos val="l"/>
        <c:numFmt formatCode="&quot;₹&quot;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534712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b"/>
      <c:layout>
        <c:manualLayout>
          <c:xMode val="edge"/>
          <c:yMode val="edge"/>
          <c:x val="0.17673075240594924"/>
          <c:y val="0.89409667541557303"/>
          <c:w val="0.70764938757655294"/>
          <c:h val="7.812554680664916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accent1">
                  <a:lumMod val="50000"/>
                </a:schemeClr>
              </a:solidFill>
              <a:latin typeface="Times New Roman" panose="02020603050405020304" pitchFamily="18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4520800271968"/>
          <c:y val="5.9298884833347283E-2"/>
          <c:w val="0.70200946613320658"/>
          <c:h val="0.91019132953208437"/>
        </c:manualLayout>
      </c:layout>
      <c:doughnutChart>
        <c:varyColors val="1"/>
        <c:ser>
          <c:idx val="0"/>
          <c:order val="0"/>
          <c:spPr>
            <a:solidFill>
              <a:schemeClr val="tx2">
                <a:lumMod val="40000"/>
                <a:lumOff val="60000"/>
              </a:schemeClr>
            </a:solidFill>
            <a:ln w="28575"/>
          </c:spPr>
          <c:explosion val="16"/>
          <c:dPt>
            <c:idx val="0"/>
            <c:bubble3D val="0"/>
            <c:explosion val="0"/>
            <c:spPr>
              <a:solidFill>
                <a:schemeClr val="bg1"/>
              </a:solidFill>
              <a:ln w="12700">
                <a:solidFill>
                  <a:schemeClr val="tx1"/>
                </a:solidFill>
              </a:ln>
              <a:effectLst/>
            </c:spPr>
          </c:dPt>
          <c:dPt>
            <c:idx val="1"/>
            <c:bubble3D val="0"/>
            <c:explosion val="0"/>
            <c:spPr>
              <a:solidFill>
                <a:schemeClr val="bg2">
                  <a:lumMod val="50000"/>
                </a:schemeClr>
              </a:solidFill>
              <a:ln w="28575">
                <a:solidFill>
                  <a:schemeClr val="lt1"/>
                </a:solidFill>
              </a:ln>
              <a:effectLst/>
            </c:spPr>
          </c:dPt>
          <c:val>
            <c:numRef>
              <c:f>SUMMARY!$R$8:$R$9</c:f>
              <c:numCache>
                <c:formatCode>0%</c:formatCode>
                <c:ptCount val="2"/>
                <c:pt idx="0">
                  <c:v>0.53170731707317076</c:v>
                </c:pt>
                <c:pt idx="1">
                  <c:v>0.4682926829268293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5"/>
      </c:doughnut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INCOME!A1"/><Relationship Id="rId2" Type="http://schemas.openxmlformats.org/officeDocument/2006/relationships/hyperlink" Target="#EXPENSES!A1"/><Relationship Id="rId1" Type="http://schemas.openxmlformats.org/officeDocument/2006/relationships/hyperlink" Target="#SAVINGS!A1"/><Relationship Id="rId5" Type="http://schemas.openxmlformats.org/officeDocument/2006/relationships/chart" Target="../charts/chart2.xml"/><Relationship Id="rId4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SUMMARY!A1"/><Relationship Id="rId2" Type="http://schemas.openxmlformats.org/officeDocument/2006/relationships/hyperlink" Target="#INCOME!A1"/><Relationship Id="rId1" Type="http://schemas.openxmlformats.org/officeDocument/2006/relationships/hyperlink" Target="#EXPENSES!A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SUMMARY!A1"/><Relationship Id="rId2" Type="http://schemas.openxmlformats.org/officeDocument/2006/relationships/hyperlink" Target="#INCOME!A1"/><Relationship Id="rId1" Type="http://schemas.openxmlformats.org/officeDocument/2006/relationships/hyperlink" Target="#SAVINGS!A1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SUMMARY!A1"/><Relationship Id="rId2" Type="http://schemas.openxmlformats.org/officeDocument/2006/relationships/hyperlink" Target="#EXPENSES!A1"/><Relationship Id="rId1" Type="http://schemas.openxmlformats.org/officeDocument/2006/relationships/hyperlink" Target="#SAVINGS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381000</xdr:colOff>
      <xdr:row>1</xdr:row>
      <xdr:rowOff>133350</xdr:rowOff>
    </xdr:from>
    <xdr:to>
      <xdr:col>14</xdr:col>
      <xdr:colOff>295275</xdr:colOff>
      <xdr:row>1</xdr:row>
      <xdr:rowOff>409575</xdr:rowOff>
    </xdr:to>
    <xdr:sp macro="" textlink="">
      <xdr:nvSpPr>
        <xdr:cNvPr id="2" name="Rounded Rectangle 1">
          <a:hlinkClick xmlns:r="http://schemas.openxmlformats.org/officeDocument/2006/relationships" r:id="rId1"/>
        </xdr:cNvPr>
        <xdr:cNvSpPr/>
      </xdr:nvSpPr>
      <xdr:spPr>
        <a:xfrm>
          <a:off x="10744200" y="276225"/>
          <a:ext cx="1133475" cy="276225"/>
        </a:xfrm>
        <a:prstGeom prst="roundRect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200" b="1">
              <a:solidFill>
                <a:schemeClr val="accent1">
                  <a:lumMod val="50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SAVINGS</a:t>
          </a:r>
        </a:p>
      </xdr:txBody>
    </xdr:sp>
    <xdr:clientData/>
  </xdr:twoCellAnchor>
  <xdr:twoCellAnchor>
    <xdr:from>
      <xdr:col>10</xdr:col>
      <xdr:colOff>409575</xdr:colOff>
      <xdr:row>1</xdr:row>
      <xdr:rowOff>133350</xdr:rowOff>
    </xdr:from>
    <xdr:to>
      <xdr:col>12</xdr:col>
      <xdr:colOff>323850</xdr:colOff>
      <xdr:row>1</xdr:row>
      <xdr:rowOff>409575</xdr:rowOff>
    </xdr:to>
    <xdr:sp macro="" textlink="">
      <xdr:nvSpPr>
        <xdr:cNvPr id="3" name="Rounded Rectangle 2">
          <a:hlinkClick xmlns:r="http://schemas.openxmlformats.org/officeDocument/2006/relationships" r:id="rId2"/>
        </xdr:cNvPr>
        <xdr:cNvSpPr/>
      </xdr:nvSpPr>
      <xdr:spPr>
        <a:xfrm>
          <a:off x="9553575" y="276225"/>
          <a:ext cx="1133475" cy="276225"/>
        </a:xfrm>
        <a:prstGeom prst="roundRect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200" b="1">
              <a:solidFill>
                <a:schemeClr val="accent1">
                  <a:lumMod val="50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EXPENSES</a:t>
          </a:r>
        </a:p>
      </xdr:txBody>
    </xdr:sp>
    <xdr:clientData/>
  </xdr:twoCellAnchor>
  <xdr:twoCellAnchor>
    <xdr:from>
      <xdr:col>8</xdr:col>
      <xdr:colOff>428625</xdr:colOff>
      <xdr:row>1</xdr:row>
      <xdr:rowOff>142875</xdr:rowOff>
    </xdr:from>
    <xdr:to>
      <xdr:col>10</xdr:col>
      <xdr:colOff>342900</xdr:colOff>
      <xdr:row>1</xdr:row>
      <xdr:rowOff>419100</xdr:rowOff>
    </xdr:to>
    <xdr:sp macro="" textlink="">
      <xdr:nvSpPr>
        <xdr:cNvPr id="4" name="Rounded Rectangle 3">
          <a:hlinkClick xmlns:r="http://schemas.openxmlformats.org/officeDocument/2006/relationships" r:id="rId3"/>
        </xdr:cNvPr>
        <xdr:cNvSpPr/>
      </xdr:nvSpPr>
      <xdr:spPr>
        <a:xfrm>
          <a:off x="8353425" y="285750"/>
          <a:ext cx="1133475" cy="276225"/>
        </a:xfrm>
        <a:prstGeom prst="roundRect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200" b="1">
              <a:solidFill>
                <a:schemeClr val="accent1">
                  <a:lumMod val="50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INCOME</a:t>
          </a:r>
        </a:p>
      </xdr:txBody>
    </xdr:sp>
    <xdr:clientData/>
  </xdr:twoCellAnchor>
  <xdr:twoCellAnchor>
    <xdr:from>
      <xdr:col>6</xdr:col>
      <xdr:colOff>447675</xdr:colOff>
      <xdr:row>1</xdr:row>
      <xdr:rowOff>142875</xdr:rowOff>
    </xdr:from>
    <xdr:to>
      <xdr:col>8</xdr:col>
      <xdr:colOff>361950</xdr:colOff>
      <xdr:row>1</xdr:row>
      <xdr:rowOff>419100</xdr:rowOff>
    </xdr:to>
    <xdr:sp macro="" textlink="">
      <xdr:nvSpPr>
        <xdr:cNvPr id="5" name="Rounded Rectangle 4"/>
        <xdr:cNvSpPr/>
      </xdr:nvSpPr>
      <xdr:spPr>
        <a:xfrm>
          <a:off x="7153275" y="285750"/>
          <a:ext cx="1133475" cy="276225"/>
        </a:xfrm>
        <a:prstGeom prst="roundRect">
          <a:avLst/>
        </a:prstGeom>
        <a:solidFill>
          <a:srgbClr val="FFFF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200" b="1">
              <a:solidFill>
                <a:schemeClr val="accent1">
                  <a:lumMod val="50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SUMMARY</a:t>
          </a:r>
        </a:p>
      </xdr:txBody>
    </xdr:sp>
    <xdr:clientData/>
  </xdr:twoCellAnchor>
  <xdr:oneCellAnchor>
    <xdr:from>
      <xdr:col>10</xdr:col>
      <xdr:colOff>0</xdr:colOff>
      <xdr:row>1</xdr:row>
      <xdr:rowOff>295275</xdr:rowOff>
    </xdr:from>
    <xdr:ext cx="184731" cy="264560"/>
    <xdr:sp macro="" textlink="">
      <xdr:nvSpPr>
        <xdr:cNvPr id="6" name="TextBox 5"/>
        <xdr:cNvSpPr txBox="1"/>
      </xdr:nvSpPr>
      <xdr:spPr>
        <a:xfrm>
          <a:off x="914400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N" sz="1100"/>
        </a:p>
      </xdr:txBody>
    </xdr:sp>
    <xdr:clientData/>
  </xdr:oneCellAnchor>
  <xdr:twoCellAnchor>
    <xdr:from>
      <xdr:col>6</xdr:col>
      <xdr:colOff>127567</xdr:colOff>
      <xdr:row>3</xdr:row>
      <xdr:rowOff>102053</xdr:rowOff>
    </xdr:from>
    <xdr:to>
      <xdr:col>14</xdr:col>
      <xdr:colOff>333375</xdr:colOff>
      <xdr:row>17</xdr:row>
      <xdr:rowOff>71437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291360</xdr:colOff>
      <xdr:row>4</xdr:row>
      <xdr:rowOff>187630</xdr:rowOff>
    </xdr:from>
    <xdr:to>
      <xdr:col>3</xdr:col>
      <xdr:colOff>296056</xdr:colOff>
      <xdr:row>18</xdr:row>
      <xdr:rowOff>87160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574762</xdr:colOff>
      <xdr:row>10</xdr:row>
      <xdr:rowOff>40579</xdr:rowOff>
    </xdr:from>
    <xdr:to>
      <xdr:col>2</xdr:col>
      <xdr:colOff>1498687</xdr:colOff>
      <xdr:row>12</xdr:row>
      <xdr:rowOff>218292</xdr:rowOff>
    </xdr:to>
    <xdr:sp macro="" textlink="$R$9">
      <xdr:nvSpPr>
        <xdr:cNvPr id="9" name="Rectangle 8"/>
        <xdr:cNvSpPr/>
      </xdr:nvSpPr>
      <xdr:spPr>
        <a:xfrm>
          <a:off x="1592502" y="2376161"/>
          <a:ext cx="923925" cy="56915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94E6F397-21A2-4034-B183-B2597CA7492E}" type="TxLink">
            <a:rPr lang="en-US" sz="2000" b="1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47%</a:t>
          </a:fld>
          <a:endParaRPr lang="en-IN" sz="2000" b="1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381000</xdr:colOff>
      <xdr:row>1</xdr:row>
      <xdr:rowOff>133350</xdr:rowOff>
    </xdr:from>
    <xdr:to>
      <xdr:col>14</xdr:col>
      <xdr:colOff>295275</xdr:colOff>
      <xdr:row>1</xdr:row>
      <xdr:rowOff>409575</xdr:rowOff>
    </xdr:to>
    <xdr:sp macro="" textlink="">
      <xdr:nvSpPr>
        <xdr:cNvPr id="2" name="Rounded Rectangle 1"/>
        <xdr:cNvSpPr/>
      </xdr:nvSpPr>
      <xdr:spPr>
        <a:xfrm>
          <a:off x="10744200" y="276225"/>
          <a:ext cx="1133475" cy="276225"/>
        </a:xfrm>
        <a:prstGeom prst="roundRect">
          <a:avLst/>
        </a:prstGeom>
        <a:solidFill>
          <a:srgbClr val="FFFF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200" b="1">
              <a:solidFill>
                <a:schemeClr val="accent1">
                  <a:lumMod val="50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SAVINGS</a:t>
          </a:r>
        </a:p>
      </xdr:txBody>
    </xdr:sp>
    <xdr:clientData/>
  </xdr:twoCellAnchor>
  <xdr:twoCellAnchor>
    <xdr:from>
      <xdr:col>10</xdr:col>
      <xdr:colOff>409575</xdr:colOff>
      <xdr:row>1</xdr:row>
      <xdr:rowOff>133350</xdr:rowOff>
    </xdr:from>
    <xdr:to>
      <xdr:col>12</xdr:col>
      <xdr:colOff>323850</xdr:colOff>
      <xdr:row>1</xdr:row>
      <xdr:rowOff>409575</xdr:rowOff>
    </xdr:to>
    <xdr:sp macro="" textlink="">
      <xdr:nvSpPr>
        <xdr:cNvPr id="3" name="Rounded Rectangle 2">
          <a:hlinkClick xmlns:r="http://schemas.openxmlformats.org/officeDocument/2006/relationships" r:id="rId1"/>
        </xdr:cNvPr>
        <xdr:cNvSpPr/>
      </xdr:nvSpPr>
      <xdr:spPr>
        <a:xfrm>
          <a:off x="9553575" y="276225"/>
          <a:ext cx="1133475" cy="276225"/>
        </a:xfrm>
        <a:prstGeom prst="roundRect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200" b="1">
              <a:solidFill>
                <a:schemeClr val="accent1">
                  <a:lumMod val="50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EXPENSES</a:t>
          </a:r>
        </a:p>
      </xdr:txBody>
    </xdr:sp>
    <xdr:clientData/>
  </xdr:twoCellAnchor>
  <xdr:twoCellAnchor>
    <xdr:from>
      <xdr:col>8</xdr:col>
      <xdr:colOff>428625</xdr:colOff>
      <xdr:row>1</xdr:row>
      <xdr:rowOff>142875</xdr:rowOff>
    </xdr:from>
    <xdr:to>
      <xdr:col>10</xdr:col>
      <xdr:colOff>342900</xdr:colOff>
      <xdr:row>1</xdr:row>
      <xdr:rowOff>419100</xdr:rowOff>
    </xdr:to>
    <xdr:sp macro="" textlink="">
      <xdr:nvSpPr>
        <xdr:cNvPr id="4" name="Rounded Rectangle 3">
          <a:hlinkClick xmlns:r="http://schemas.openxmlformats.org/officeDocument/2006/relationships" r:id="rId2"/>
        </xdr:cNvPr>
        <xdr:cNvSpPr/>
      </xdr:nvSpPr>
      <xdr:spPr>
        <a:xfrm>
          <a:off x="8353425" y="285750"/>
          <a:ext cx="1133475" cy="276225"/>
        </a:xfrm>
        <a:prstGeom prst="roundRect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200" b="1">
              <a:solidFill>
                <a:schemeClr val="accent1">
                  <a:lumMod val="50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INCOME</a:t>
          </a:r>
        </a:p>
      </xdr:txBody>
    </xdr:sp>
    <xdr:clientData/>
  </xdr:twoCellAnchor>
  <xdr:twoCellAnchor>
    <xdr:from>
      <xdr:col>6</xdr:col>
      <xdr:colOff>447675</xdr:colOff>
      <xdr:row>1</xdr:row>
      <xdr:rowOff>142875</xdr:rowOff>
    </xdr:from>
    <xdr:to>
      <xdr:col>8</xdr:col>
      <xdr:colOff>361950</xdr:colOff>
      <xdr:row>1</xdr:row>
      <xdr:rowOff>419100</xdr:rowOff>
    </xdr:to>
    <xdr:sp macro="" textlink="">
      <xdr:nvSpPr>
        <xdr:cNvPr id="5" name="Rounded Rectangle 4">
          <a:hlinkClick xmlns:r="http://schemas.openxmlformats.org/officeDocument/2006/relationships" r:id="rId3"/>
        </xdr:cNvPr>
        <xdr:cNvSpPr/>
      </xdr:nvSpPr>
      <xdr:spPr>
        <a:xfrm>
          <a:off x="7153275" y="285750"/>
          <a:ext cx="1133475" cy="276225"/>
        </a:xfrm>
        <a:prstGeom prst="roundRect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200" b="1">
              <a:solidFill>
                <a:schemeClr val="accent1">
                  <a:lumMod val="50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SUMMARY</a:t>
          </a:r>
        </a:p>
      </xdr:txBody>
    </xdr:sp>
    <xdr:clientData/>
  </xdr:twoCellAnchor>
  <xdr:oneCellAnchor>
    <xdr:from>
      <xdr:col>10</xdr:col>
      <xdr:colOff>0</xdr:colOff>
      <xdr:row>1</xdr:row>
      <xdr:rowOff>295275</xdr:rowOff>
    </xdr:from>
    <xdr:ext cx="184731" cy="264560"/>
    <xdr:sp macro="" textlink="">
      <xdr:nvSpPr>
        <xdr:cNvPr id="6" name="TextBox 5"/>
        <xdr:cNvSpPr txBox="1"/>
      </xdr:nvSpPr>
      <xdr:spPr>
        <a:xfrm>
          <a:off x="914400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N" sz="1100"/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381000</xdr:colOff>
      <xdr:row>1</xdr:row>
      <xdr:rowOff>133350</xdr:rowOff>
    </xdr:from>
    <xdr:to>
      <xdr:col>14</xdr:col>
      <xdr:colOff>295275</xdr:colOff>
      <xdr:row>1</xdr:row>
      <xdr:rowOff>409575</xdr:rowOff>
    </xdr:to>
    <xdr:sp macro="" textlink="">
      <xdr:nvSpPr>
        <xdr:cNvPr id="2" name="Rounded Rectangle 1">
          <a:hlinkClick xmlns:r="http://schemas.openxmlformats.org/officeDocument/2006/relationships" r:id="rId1"/>
        </xdr:cNvPr>
        <xdr:cNvSpPr/>
      </xdr:nvSpPr>
      <xdr:spPr>
        <a:xfrm>
          <a:off x="9810750" y="276225"/>
          <a:ext cx="1133475" cy="276225"/>
        </a:xfrm>
        <a:prstGeom prst="roundRect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200" b="1">
              <a:solidFill>
                <a:schemeClr val="accent1">
                  <a:lumMod val="50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SAVINGS</a:t>
          </a:r>
        </a:p>
      </xdr:txBody>
    </xdr:sp>
    <xdr:clientData/>
  </xdr:twoCellAnchor>
  <xdr:twoCellAnchor>
    <xdr:from>
      <xdr:col>10</xdr:col>
      <xdr:colOff>409575</xdr:colOff>
      <xdr:row>1</xdr:row>
      <xdr:rowOff>133350</xdr:rowOff>
    </xdr:from>
    <xdr:to>
      <xdr:col>12</xdr:col>
      <xdr:colOff>323850</xdr:colOff>
      <xdr:row>1</xdr:row>
      <xdr:rowOff>409575</xdr:rowOff>
    </xdr:to>
    <xdr:sp macro="" textlink="">
      <xdr:nvSpPr>
        <xdr:cNvPr id="3" name="Rounded Rectangle 2"/>
        <xdr:cNvSpPr/>
      </xdr:nvSpPr>
      <xdr:spPr>
        <a:xfrm>
          <a:off x="8620125" y="276225"/>
          <a:ext cx="1133475" cy="276225"/>
        </a:xfrm>
        <a:prstGeom prst="roundRect">
          <a:avLst/>
        </a:prstGeom>
        <a:solidFill>
          <a:srgbClr val="FFFF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200" b="1">
              <a:solidFill>
                <a:schemeClr val="accent1">
                  <a:lumMod val="50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EXPENSES</a:t>
          </a:r>
        </a:p>
      </xdr:txBody>
    </xdr:sp>
    <xdr:clientData/>
  </xdr:twoCellAnchor>
  <xdr:twoCellAnchor>
    <xdr:from>
      <xdr:col>8</xdr:col>
      <xdr:colOff>428625</xdr:colOff>
      <xdr:row>1</xdr:row>
      <xdr:rowOff>142875</xdr:rowOff>
    </xdr:from>
    <xdr:to>
      <xdr:col>10</xdr:col>
      <xdr:colOff>342900</xdr:colOff>
      <xdr:row>1</xdr:row>
      <xdr:rowOff>419100</xdr:rowOff>
    </xdr:to>
    <xdr:sp macro="" textlink="">
      <xdr:nvSpPr>
        <xdr:cNvPr id="4" name="Rounded Rectangle 3">
          <a:hlinkClick xmlns:r="http://schemas.openxmlformats.org/officeDocument/2006/relationships" r:id="rId2"/>
        </xdr:cNvPr>
        <xdr:cNvSpPr/>
      </xdr:nvSpPr>
      <xdr:spPr>
        <a:xfrm>
          <a:off x="7419975" y="285750"/>
          <a:ext cx="1133475" cy="276225"/>
        </a:xfrm>
        <a:prstGeom prst="roundRect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200" b="1">
              <a:solidFill>
                <a:schemeClr val="accent1">
                  <a:lumMod val="50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INCOME</a:t>
          </a:r>
        </a:p>
      </xdr:txBody>
    </xdr:sp>
    <xdr:clientData/>
  </xdr:twoCellAnchor>
  <xdr:twoCellAnchor>
    <xdr:from>
      <xdr:col>6</xdr:col>
      <xdr:colOff>447675</xdr:colOff>
      <xdr:row>1</xdr:row>
      <xdr:rowOff>142875</xdr:rowOff>
    </xdr:from>
    <xdr:to>
      <xdr:col>8</xdr:col>
      <xdr:colOff>361950</xdr:colOff>
      <xdr:row>1</xdr:row>
      <xdr:rowOff>419100</xdr:rowOff>
    </xdr:to>
    <xdr:sp macro="" textlink="">
      <xdr:nvSpPr>
        <xdr:cNvPr id="5" name="Rounded Rectangle 4">
          <a:hlinkClick xmlns:r="http://schemas.openxmlformats.org/officeDocument/2006/relationships" r:id="rId3"/>
        </xdr:cNvPr>
        <xdr:cNvSpPr/>
      </xdr:nvSpPr>
      <xdr:spPr>
        <a:xfrm>
          <a:off x="6219825" y="285750"/>
          <a:ext cx="1133475" cy="276225"/>
        </a:xfrm>
        <a:prstGeom prst="roundRect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200" b="1">
              <a:solidFill>
                <a:schemeClr val="accent1">
                  <a:lumMod val="50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SUMMARY</a:t>
          </a:r>
        </a:p>
      </xdr:txBody>
    </xdr:sp>
    <xdr:clientData/>
  </xdr:twoCellAnchor>
  <xdr:oneCellAnchor>
    <xdr:from>
      <xdr:col>10</xdr:col>
      <xdr:colOff>0</xdr:colOff>
      <xdr:row>1</xdr:row>
      <xdr:rowOff>295275</xdr:rowOff>
    </xdr:from>
    <xdr:ext cx="184731" cy="264560"/>
    <xdr:sp macro="" textlink="">
      <xdr:nvSpPr>
        <xdr:cNvPr id="6" name="TextBox 5"/>
        <xdr:cNvSpPr txBox="1"/>
      </xdr:nvSpPr>
      <xdr:spPr>
        <a:xfrm>
          <a:off x="82105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N" sz="1100"/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381000</xdr:colOff>
      <xdr:row>1</xdr:row>
      <xdr:rowOff>133350</xdr:rowOff>
    </xdr:from>
    <xdr:to>
      <xdr:col>14</xdr:col>
      <xdr:colOff>295275</xdr:colOff>
      <xdr:row>1</xdr:row>
      <xdr:rowOff>409575</xdr:rowOff>
    </xdr:to>
    <xdr:sp macro="" textlink="">
      <xdr:nvSpPr>
        <xdr:cNvPr id="2" name="Rounded Rectangle 1">
          <a:hlinkClick xmlns:r="http://schemas.openxmlformats.org/officeDocument/2006/relationships" r:id="rId1"/>
        </xdr:cNvPr>
        <xdr:cNvSpPr/>
      </xdr:nvSpPr>
      <xdr:spPr>
        <a:xfrm>
          <a:off x="8943975" y="276225"/>
          <a:ext cx="1133475" cy="276225"/>
        </a:xfrm>
        <a:prstGeom prst="roundRect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200" b="1">
              <a:solidFill>
                <a:schemeClr val="accent1">
                  <a:lumMod val="50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SAVINGS</a:t>
          </a:r>
        </a:p>
      </xdr:txBody>
    </xdr:sp>
    <xdr:clientData/>
  </xdr:twoCellAnchor>
  <xdr:twoCellAnchor>
    <xdr:from>
      <xdr:col>10</xdr:col>
      <xdr:colOff>409575</xdr:colOff>
      <xdr:row>1</xdr:row>
      <xdr:rowOff>133350</xdr:rowOff>
    </xdr:from>
    <xdr:to>
      <xdr:col>12</xdr:col>
      <xdr:colOff>323850</xdr:colOff>
      <xdr:row>1</xdr:row>
      <xdr:rowOff>409575</xdr:rowOff>
    </xdr:to>
    <xdr:sp macro="" textlink="">
      <xdr:nvSpPr>
        <xdr:cNvPr id="3" name="Rounded Rectangle 2">
          <a:hlinkClick xmlns:r="http://schemas.openxmlformats.org/officeDocument/2006/relationships" r:id="rId2"/>
        </xdr:cNvPr>
        <xdr:cNvSpPr/>
      </xdr:nvSpPr>
      <xdr:spPr>
        <a:xfrm>
          <a:off x="7753350" y="276225"/>
          <a:ext cx="1133475" cy="276225"/>
        </a:xfrm>
        <a:prstGeom prst="roundRect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200" b="1">
              <a:solidFill>
                <a:schemeClr val="accent1">
                  <a:lumMod val="50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EXPENSES</a:t>
          </a:r>
        </a:p>
      </xdr:txBody>
    </xdr:sp>
    <xdr:clientData/>
  </xdr:twoCellAnchor>
  <xdr:twoCellAnchor>
    <xdr:from>
      <xdr:col>8</xdr:col>
      <xdr:colOff>428625</xdr:colOff>
      <xdr:row>1</xdr:row>
      <xdr:rowOff>142875</xdr:rowOff>
    </xdr:from>
    <xdr:to>
      <xdr:col>10</xdr:col>
      <xdr:colOff>342900</xdr:colOff>
      <xdr:row>1</xdr:row>
      <xdr:rowOff>419100</xdr:rowOff>
    </xdr:to>
    <xdr:sp macro="" textlink="">
      <xdr:nvSpPr>
        <xdr:cNvPr id="4" name="Rounded Rectangle 3"/>
        <xdr:cNvSpPr/>
      </xdr:nvSpPr>
      <xdr:spPr>
        <a:xfrm>
          <a:off x="6553200" y="285750"/>
          <a:ext cx="1133475" cy="276225"/>
        </a:xfrm>
        <a:prstGeom prst="roundRect">
          <a:avLst/>
        </a:prstGeom>
        <a:solidFill>
          <a:srgbClr val="FFFF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200" b="1">
              <a:solidFill>
                <a:schemeClr val="accent1">
                  <a:lumMod val="50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INCOME</a:t>
          </a:r>
        </a:p>
      </xdr:txBody>
    </xdr:sp>
    <xdr:clientData/>
  </xdr:twoCellAnchor>
  <xdr:twoCellAnchor>
    <xdr:from>
      <xdr:col>6</xdr:col>
      <xdr:colOff>447675</xdr:colOff>
      <xdr:row>1</xdr:row>
      <xdr:rowOff>142875</xdr:rowOff>
    </xdr:from>
    <xdr:to>
      <xdr:col>8</xdr:col>
      <xdr:colOff>361950</xdr:colOff>
      <xdr:row>1</xdr:row>
      <xdr:rowOff>419100</xdr:rowOff>
    </xdr:to>
    <xdr:sp macro="" textlink="">
      <xdr:nvSpPr>
        <xdr:cNvPr id="5" name="Rounded Rectangle 4">
          <a:hlinkClick xmlns:r="http://schemas.openxmlformats.org/officeDocument/2006/relationships" r:id="rId3"/>
        </xdr:cNvPr>
        <xdr:cNvSpPr/>
      </xdr:nvSpPr>
      <xdr:spPr>
        <a:xfrm>
          <a:off x="5353050" y="285750"/>
          <a:ext cx="1133475" cy="276225"/>
        </a:xfrm>
        <a:prstGeom prst="roundRect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200" b="1">
              <a:solidFill>
                <a:schemeClr val="accent1">
                  <a:lumMod val="50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SUMMARY</a:t>
          </a:r>
        </a:p>
      </xdr:txBody>
    </xdr:sp>
    <xdr:clientData/>
  </xdr:twoCellAnchor>
  <xdr:oneCellAnchor>
    <xdr:from>
      <xdr:col>10</xdr:col>
      <xdr:colOff>0</xdr:colOff>
      <xdr:row>1</xdr:row>
      <xdr:rowOff>295275</xdr:rowOff>
    </xdr:from>
    <xdr:ext cx="184731" cy="264560"/>
    <xdr:sp macro="" textlink="">
      <xdr:nvSpPr>
        <xdr:cNvPr id="6" name="TextBox 5"/>
        <xdr:cNvSpPr txBox="1"/>
      </xdr:nvSpPr>
      <xdr:spPr>
        <a:xfrm>
          <a:off x="7343775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N" sz="1100"/>
        </a:p>
      </xdr:txBody>
    </xdr:sp>
    <xdr:clientData/>
  </xdr:oneCellAnchor>
</xdr:wsDr>
</file>

<file path=xl/tables/table1.xml><?xml version="1.0" encoding="utf-8"?>
<table xmlns="http://schemas.openxmlformats.org/spreadsheetml/2006/main" id="3" name="Table134" displayName="Table134" ref="B6:E9" totalsRowShown="0" headerRowDxfId="3">
  <autoFilter ref="B6:E9"/>
  <tableColumns count="4">
    <tableColumn id="1" name="S.NO"/>
    <tableColumn id="2" name="EXPENSES SOURCE"/>
    <tableColumn id="3" name="DATE"/>
    <tableColumn id="4" name="AMOUNT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id="2" name="Table13" displayName="Table13" ref="B6:E14" totalsRowShown="0" headerRowDxfId="4">
  <autoFilter ref="B6:E14"/>
  <tableColumns count="4">
    <tableColumn id="1" name="S.NO"/>
    <tableColumn id="2" name="EXPENSES SOURCE"/>
    <tableColumn id="3" name="DATE"/>
    <tableColumn id="4" name="AMOUNT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id="1" name="Table1" displayName="Table1" ref="B6:E11" totalsRowShown="0" headerRowDxfId="5">
  <autoFilter ref="B6:E11"/>
  <tableColumns count="4">
    <tableColumn id="1" name="S.NO" dataDxfId="0"/>
    <tableColumn id="2" name="INCOME SOURCE" dataDxfId="1"/>
    <tableColumn id="3" name="DATE"/>
    <tableColumn id="4" name="AMOUNT" dataDxfId="2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S16"/>
  <sheetViews>
    <sheetView showGridLines="0" tabSelected="1" zoomScale="73" zoomScaleNormal="73" workbookViewId="0">
      <selection activeCell="T21" sqref="T21"/>
    </sheetView>
  </sheetViews>
  <sheetFormatPr defaultRowHeight="15" x14ac:dyDescent="0.25"/>
  <cols>
    <col min="1" max="1" width="4.42578125" customWidth="1"/>
    <col min="2" max="2" width="10.7109375" customWidth="1"/>
    <col min="3" max="3" width="38.42578125" customWidth="1"/>
    <col min="4" max="4" width="16.85546875" customWidth="1"/>
    <col min="5" max="5" width="30" customWidth="1"/>
  </cols>
  <sheetData>
    <row r="1" spans="2:19" ht="11.25" customHeight="1" x14ac:dyDescent="0.25"/>
    <row r="2" spans="2:19" s="1" customFormat="1" ht="42.75" customHeight="1" x14ac:dyDescent="0.25">
      <c r="B2" s="2" t="s">
        <v>0</v>
      </c>
      <c r="C2" s="3"/>
    </row>
    <row r="4" spans="2:19" x14ac:dyDescent="0.25">
      <c r="B4" s="12" t="s">
        <v>25</v>
      </c>
      <c r="C4" s="12"/>
      <c r="E4" s="12" t="s">
        <v>26</v>
      </c>
    </row>
    <row r="6" spans="2:19" x14ac:dyDescent="0.25">
      <c r="E6" s="11" t="s">
        <v>1</v>
      </c>
    </row>
    <row r="7" spans="2:19" ht="18.75" x14ac:dyDescent="0.3">
      <c r="E7" s="10">
        <f>SUM(Table1[AMOUNT])</f>
        <v>82000</v>
      </c>
    </row>
    <row r="8" spans="2:19" x14ac:dyDescent="0.25">
      <c r="R8" s="13">
        <f>1-R9</f>
        <v>0.53170731707317076</v>
      </c>
    </row>
    <row r="9" spans="2:19" x14ac:dyDescent="0.25">
      <c r="E9" s="11" t="s">
        <v>7</v>
      </c>
      <c r="R9" s="13">
        <f>E10/E7</f>
        <v>0.4682926829268293</v>
      </c>
      <c r="S9" s="13"/>
    </row>
    <row r="10" spans="2:19" ht="18.75" x14ac:dyDescent="0.3">
      <c r="E10" s="10">
        <f>SUM(Table13[AMOUNT])</f>
        <v>38400</v>
      </c>
    </row>
    <row r="12" spans="2:19" x14ac:dyDescent="0.25">
      <c r="E12" s="11" t="s">
        <v>8</v>
      </c>
      <c r="G12" s="8"/>
    </row>
    <row r="13" spans="2:19" ht="18.75" x14ac:dyDescent="0.3">
      <c r="E13" s="10">
        <f>SUM(Table134[AMOUNT])</f>
        <v>34999</v>
      </c>
    </row>
    <row r="15" spans="2:19" x14ac:dyDescent="0.25">
      <c r="E15" s="11" t="s">
        <v>27</v>
      </c>
    </row>
    <row r="16" spans="2:19" ht="18.75" x14ac:dyDescent="0.3">
      <c r="E16" s="10">
        <f>E7-E10-E13</f>
        <v>8601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9"/>
  <sheetViews>
    <sheetView workbookViewId="0"/>
  </sheetViews>
  <sheetFormatPr defaultRowHeight="15" x14ac:dyDescent="0.25"/>
  <cols>
    <col min="1" max="1" width="4.42578125" customWidth="1"/>
    <col min="2" max="2" width="10.7109375" customWidth="1"/>
    <col min="3" max="3" width="38.42578125" customWidth="1"/>
    <col min="4" max="4" width="16.85546875" customWidth="1"/>
    <col min="5" max="5" width="21" customWidth="1"/>
  </cols>
  <sheetData>
    <row r="1" spans="2:5" ht="11.25" customHeight="1" x14ac:dyDescent="0.25"/>
    <row r="2" spans="2:5" s="1" customFormat="1" ht="42.75" customHeight="1" x14ac:dyDescent="0.25">
      <c r="B2" s="2" t="s">
        <v>0</v>
      </c>
      <c r="C2" s="3"/>
    </row>
    <row r="4" spans="2:5" x14ac:dyDescent="0.25">
      <c r="B4" s="4" t="s">
        <v>8</v>
      </c>
      <c r="C4" s="4"/>
    </row>
    <row r="6" spans="2:5" ht="15.75" x14ac:dyDescent="0.25">
      <c r="B6" s="5" t="s">
        <v>2</v>
      </c>
      <c r="C6" s="5" t="s">
        <v>6</v>
      </c>
      <c r="D6" s="5" t="s">
        <v>4</v>
      </c>
      <c r="E6" s="5" t="s">
        <v>5</v>
      </c>
    </row>
    <row r="7" spans="2:5" x14ac:dyDescent="0.25">
      <c r="B7">
        <v>1</v>
      </c>
      <c r="C7" t="s">
        <v>22</v>
      </c>
      <c r="D7" s="6">
        <v>45658</v>
      </c>
      <c r="E7">
        <v>5000</v>
      </c>
    </row>
    <row r="8" spans="2:5" x14ac:dyDescent="0.25">
      <c r="B8">
        <v>2</v>
      </c>
      <c r="C8" t="s">
        <v>23</v>
      </c>
      <c r="D8" s="6">
        <v>45662</v>
      </c>
      <c r="E8">
        <v>7999</v>
      </c>
    </row>
    <row r="9" spans="2:5" x14ac:dyDescent="0.25">
      <c r="B9">
        <v>3</v>
      </c>
      <c r="C9" t="s">
        <v>24</v>
      </c>
      <c r="D9" s="6">
        <v>45677</v>
      </c>
      <c r="E9">
        <v>22000</v>
      </c>
    </row>
  </sheetData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14"/>
  <sheetViews>
    <sheetView workbookViewId="0"/>
  </sheetViews>
  <sheetFormatPr defaultRowHeight="15" x14ac:dyDescent="0.25"/>
  <cols>
    <col min="1" max="1" width="4.42578125" customWidth="1"/>
    <col min="2" max="2" width="10.7109375" customWidth="1"/>
    <col min="3" max="3" width="38.42578125" customWidth="1"/>
    <col min="4" max="4" width="16.85546875" customWidth="1"/>
    <col min="5" max="5" width="21" customWidth="1"/>
  </cols>
  <sheetData>
    <row r="1" spans="2:5" ht="11.25" customHeight="1" x14ac:dyDescent="0.25"/>
    <row r="2" spans="2:5" s="1" customFormat="1" ht="42.75" customHeight="1" x14ac:dyDescent="0.25">
      <c r="B2" s="2" t="s">
        <v>0</v>
      </c>
      <c r="C2" s="3"/>
    </row>
    <row r="4" spans="2:5" x14ac:dyDescent="0.25">
      <c r="B4" s="4" t="s">
        <v>7</v>
      </c>
      <c r="C4" s="4"/>
    </row>
    <row r="6" spans="2:5" ht="15.75" x14ac:dyDescent="0.25">
      <c r="B6" s="5" t="s">
        <v>2</v>
      </c>
      <c r="C6" s="5" t="s">
        <v>6</v>
      </c>
      <c r="D6" s="5" t="s">
        <v>4</v>
      </c>
      <c r="E6" s="5" t="s">
        <v>5</v>
      </c>
    </row>
    <row r="7" spans="2:5" x14ac:dyDescent="0.25">
      <c r="B7">
        <v>1</v>
      </c>
      <c r="C7" t="s">
        <v>14</v>
      </c>
      <c r="D7" s="6">
        <v>45658</v>
      </c>
      <c r="E7">
        <v>10000</v>
      </c>
    </row>
    <row r="8" spans="2:5" x14ac:dyDescent="0.25">
      <c r="B8">
        <v>2</v>
      </c>
      <c r="C8" t="s">
        <v>15</v>
      </c>
      <c r="D8" s="6">
        <v>45658</v>
      </c>
      <c r="E8">
        <v>5500</v>
      </c>
    </row>
    <row r="9" spans="2:5" x14ac:dyDescent="0.25">
      <c r="B9">
        <v>3</v>
      </c>
      <c r="C9" t="s">
        <v>16</v>
      </c>
      <c r="D9" s="6">
        <v>45662</v>
      </c>
      <c r="E9">
        <v>1000</v>
      </c>
    </row>
    <row r="10" spans="2:5" x14ac:dyDescent="0.25">
      <c r="B10">
        <v>4</v>
      </c>
      <c r="C10" t="s">
        <v>17</v>
      </c>
      <c r="D10" s="6">
        <v>45662</v>
      </c>
      <c r="E10">
        <v>2300</v>
      </c>
    </row>
    <row r="11" spans="2:5" x14ac:dyDescent="0.25">
      <c r="B11">
        <v>5</v>
      </c>
      <c r="C11" t="s">
        <v>18</v>
      </c>
      <c r="D11" s="6">
        <v>45672</v>
      </c>
      <c r="E11">
        <v>4000</v>
      </c>
    </row>
    <row r="12" spans="2:5" x14ac:dyDescent="0.25">
      <c r="B12">
        <v>6</v>
      </c>
      <c r="C12" t="s">
        <v>19</v>
      </c>
      <c r="D12" s="6">
        <v>45672</v>
      </c>
      <c r="E12">
        <v>5400</v>
      </c>
    </row>
    <row r="13" spans="2:5" x14ac:dyDescent="0.25">
      <c r="B13">
        <v>7</v>
      </c>
      <c r="C13" t="s">
        <v>20</v>
      </c>
      <c r="D13" s="6">
        <v>45677</v>
      </c>
      <c r="E13">
        <v>3200</v>
      </c>
    </row>
    <row r="14" spans="2:5" x14ac:dyDescent="0.25">
      <c r="B14">
        <v>8</v>
      </c>
      <c r="C14" t="s">
        <v>21</v>
      </c>
      <c r="D14" s="6">
        <v>45677</v>
      </c>
      <c r="E14">
        <v>7000</v>
      </c>
    </row>
  </sheetData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11"/>
  <sheetViews>
    <sheetView workbookViewId="0"/>
  </sheetViews>
  <sheetFormatPr defaultRowHeight="15" x14ac:dyDescent="0.25"/>
  <cols>
    <col min="1" max="1" width="4.42578125" customWidth="1"/>
    <col min="2" max="2" width="10.5703125" customWidth="1"/>
    <col min="3" max="3" width="33" customWidth="1"/>
    <col min="4" max="4" width="16.85546875" customWidth="1"/>
    <col min="5" max="5" width="20.42578125" customWidth="1"/>
  </cols>
  <sheetData>
    <row r="1" spans="2:5" ht="11.25" customHeight="1" x14ac:dyDescent="0.25"/>
    <row r="2" spans="2:5" s="1" customFormat="1" ht="42.75" customHeight="1" x14ac:dyDescent="0.25">
      <c r="B2" s="2" t="s">
        <v>0</v>
      </c>
      <c r="C2" s="3"/>
    </row>
    <row r="4" spans="2:5" x14ac:dyDescent="0.25">
      <c r="B4" s="4" t="s">
        <v>1</v>
      </c>
    </row>
    <row r="6" spans="2:5" ht="15.75" x14ac:dyDescent="0.25">
      <c r="B6" s="5" t="s">
        <v>2</v>
      </c>
      <c r="C6" s="5" t="s">
        <v>3</v>
      </c>
      <c r="D6" s="5" t="s">
        <v>4</v>
      </c>
      <c r="E6" s="5" t="s">
        <v>5</v>
      </c>
    </row>
    <row r="7" spans="2:5" x14ac:dyDescent="0.25">
      <c r="B7" s="9">
        <v>1</v>
      </c>
      <c r="C7" s="7" t="s">
        <v>9</v>
      </c>
      <c r="D7" s="6">
        <v>45658</v>
      </c>
      <c r="E7" s="8">
        <v>10000</v>
      </c>
    </row>
    <row r="8" spans="2:5" x14ac:dyDescent="0.25">
      <c r="B8" s="9">
        <v>2</v>
      </c>
      <c r="C8" s="7" t="s">
        <v>10</v>
      </c>
      <c r="D8" s="6">
        <v>45717</v>
      </c>
      <c r="E8" s="8">
        <v>20000</v>
      </c>
    </row>
    <row r="9" spans="2:5" x14ac:dyDescent="0.25">
      <c r="B9" s="9">
        <v>3</v>
      </c>
      <c r="C9" s="7" t="s">
        <v>11</v>
      </c>
      <c r="D9" s="6">
        <v>45778</v>
      </c>
      <c r="E9" s="8">
        <v>20000</v>
      </c>
    </row>
    <row r="10" spans="2:5" x14ac:dyDescent="0.25">
      <c r="B10" s="9">
        <v>4</v>
      </c>
      <c r="C10" s="7" t="s">
        <v>12</v>
      </c>
      <c r="D10" s="6">
        <v>45672</v>
      </c>
      <c r="E10" s="8">
        <v>12000</v>
      </c>
    </row>
    <row r="11" spans="2:5" x14ac:dyDescent="0.25">
      <c r="B11" s="9">
        <v>5</v>
      </c>
      <c r="C11" s="7" t="s">
        <v>13</v>
      </c>
      <c r="D11" s="6">
        <v>45681</v>
      </c>
      <c r="E11" s="8">
        <v>20000</v>
      </c>
    </row>
  </sheetData>
  <pageMargins left="0.7" right="0.7" top="0.75" bottom="0.75" header="0.3" footer="0.3"/>
  <pageSetup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SAVINGS</vt:lpstr>
      <vt:lpstr>EXPENSES</vt:lpstr>
      <vt:lpstr>INCOME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2026-02-04T07:05:50Z</dcterms:modified>
</cp:coreProperties>
</file>